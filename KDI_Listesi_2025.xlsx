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Dİ Listesi" sheetId="1" state="visible" r:id="rId3"/>
    <sheet name="Bölge Özet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<sst xmlns="http://schemas.openxmlformats.org/spreadsheetml/2006/main" count="340" uniqueCount="140">
  <si>
    <t xml:space="preserve">TÜRKİYE KARAYOLU YOL KENARI DENETİM İSTASYONLARI (KDİ) LİSTESİ</t>
  </si>
  <si>
    <t xml:space="preserve">Kaynak: Karayolları Genel Müdürlüğü (KGM) — 2025 Yılı Verileri | Toplam: 104 KDİ, 42 İl, 16 Bölge</t>
  </si>
  <si>
    <t xml:space="preserve">Sıra No</t>
  </si>
  <si>
    <t xml:space="preserve">İstasyon Adı</t>
  </si>
  <si>
    <t xml:space="preserve">İstasyon Türü</t>
  </si>
  <si>
    <t xml:space="preserve">İl</t>
  </si>
  <si>
    <t xml:space="preserve">KGM Bölgesi</t>
  </si>
  <si>
    <t xml:space="preserve">Bölge Merkezi</t>
  </si>
  <si>
    <t xml:space="preserve">Yol / Güzergah</t>
  </si>
  <si>
    <t xml:space="preserve">İstasyon Adresi</t>
  </si>
  <si>
    <t xml:space="preserve">Durum</t>
  </si>
  <si>
    <t xml:space="preserve">Çamlıca Gişeleri 1 KDİ</t>
  </si>
  <si>
    <t xml:space="preserve">Otoyol KDİ</t>
  </si>
  <si>
    <t xml:space="preserve">İstanbul</t>
  </si>
  <si>
    <t xml:space="preserve">1. Bölge</t>
  </si>
  <si>
    <t xml:space="preserve">TEM Otoyolu</t>
  </si>
  <si>
    <t xml:space="preserve">TEM Otoyolu Çamlıca Gişeleri (İstanbul→Ankara)</t>
  </si>
  <si>
    <t xml:space="preserve">✅ Aktif</t>
  </si>
  <si>
    <t xml:space="preserve">Çamlıca Gişeleri 2 KDİ</t>
  </si>
  <si>
    <t xml:space="preserve">TEM Otoyolu Çamlıca Gişeleri (Ankara→İstanbul)</t>
  </si>
  <si>
    <t xml:space="preserve">Mahmutbey Gişeleri 1 KDİ</t>
  </si>
  <si>
    <t xml:space="preserve">TEM Otoyolu Mahmutbey Gişeleri (İstanbul→Edirne)</t>
  </si>
  <si>
    <t xml:space="preserve">Mahmutbey Gişeleri 2 KDİ</t>
  </si>
  <si>
    <t xml:space="preserve">TEM Otoyolu Mahmutbey Gişeleri (Edirne→İstanbul)</t>
  </si>
  <si>
    <t xml:space="preserve">Hasdal Kemerburgaz KDİ</t>
  </si>
  <si>
    <t xml:space="preserve">Devlet Yolu KDİ</t>
  </si>
  <si>
    <t xml:space="preserve">Hasdal-Kemerburgaz Yolu</t>
  </si>
  <si>
    <t xml:space="preserve">Hasdal-Kemerburgaz yolu, Eyüp / İstanbul</t>
  </si>
  <si>
    <t xml:space="preserve">Tuzla KDİ</t>
  </si>
  <si>
    <t xml:space="preserve">E5 Karayolu</t>
  </si>
  <si>
    <t xml:space="preserve">E5 Karayolu, Harem-Gebze arası 33. km, Tuzla</t>
  </si>
  <si>
    <t xml:space="preserve">Silivri Kınalı KDİ</t>
  </si>
  <si>
    <t xml:space="preserve">D-100 / Marmara Ereğlisi-Silivri Yolu</t>
  </si>
  <si>
    <t xml:space="preserve">Kınalı köprü mevkii, 18. km, Silivri</t>
  </si>
  <si>
    <t xml:space="preserve">Kapıkule 1 KDİ</t>
  </si>
  <si>
    <t xml:space="preserve">Edirne</t>
  </si>
  <si>
    <t xml:space="preserve">TEM Otoyolu Edirne Alın Gişeleri (Edirne→İstanbul)</t>
  </si>
  <si>
    <t xml:space="preserve">Kapıkule 2 KDİ</t>
  </si>
  <si>
    <t xml:space="preserve">TEM Otoyolu Edirne Alın Gişeleri (İstanbul→Edirne)</t>
  </si>
  <si>
    <t xml:space="preserve">Yazihan Doğu KDİ</t>
  </si>
  <si>
    <t xml:space="preserve">Malatya</t>
  </si>
  <si>
    <t xml:space="preserve">8. Bölge</t>
  </si>
  <si>
    <t xml:space="preserve">Elazığ</t>
  </si>
  <si>
    <t xml:space="preserve">D-850 / Yazıhan Kavşağı</t>
  </si>
  <si>
    <t xml:space="preserve">Yazıhan, Malatya (Doğu yönü)</t>
  </si>
  <si>
    <t xml:space="preserve">✅ 2025'te Tamamlandı</t>
  </si>
  <si>
    <t xml:space="preserve">Yazihan Batı KDİ</t>
  </si>
  <si>
    <t xml:space="preserve">Yazıhan, Malatya (Batı yönü)</t>
  </si>
  <si>
    <t xml:space="preserve">Diyarbakır Güney KDİ</t>
  </si>
  <si>
    <t xml:space="preserve">Diyarbakır</t>
  </si>
  <si>
    <t xml:space="preserve">9. Bölge</t>
  </si>
  <si>
    <t xml:space="preserve">D-360 / Güney çevreyolu</t>
  </si>
  <si>
    <t xml:space="preserve">Diyarbakır güney giriş/çıkışı</t>
  </si>
  <si>
    <t xml:space="preserve">Diyarbakır Kuzey KDİ</t>
  </si>
  <si>
    <t xml:space="preserve">D-360 / Kuzey çevreyolu</t>
  </si>
  <si>
    <t xml:space="preserve">Diyarbakır kuzey giriş/çıkışı</t>
  </si>
  <si>
    <t xml:space="preserve">—</t>
  </si>
  <si>
    <t xml:space="preserve">Kalan 6 istasyon — adres bilgisi KGM'den talep edilmeli</t>
  </si>
  <si>
    <t xml:space="preserve">⚠️ Adres Bekleniyor</t>
  </si>
  <si>
    <t xml:space="preserve">İstanbul / Çevre İller</t>
  </si>
  <si>
    <t xml:space="preserve">İstanbul Bölgesi toplam 15 KDİ (9 adres doğrulandı)</t>
  </si>
  <si>
    <t xml:space="preserve">İzmir ve çevre iller</t>
  </si>
  <si>
    <t xml:space="preserve">2. Bölge</t>
  </si>
  <si>
    <t xml:space="preserve">İzmir</t>
  </si>
  <si>
    <t xml:space="preserve">2. Bölge toplam 6 KDİ — adres bilgisi KGM'den talep edilmeli</t>
  </si>
  <si>
    <t xml:space="preserve">Konya ve çevre iller</t>
  </si>
  <si>
    <t xml:space="preserve">3. Bölge</t>
  </si>
  <si>
    <t xml:space="preserve">Konya</t>
  </si>
  <si>
    <t xml:space="preserve">3. Bölge toplam 6 KDİ — adres bilgisi KGM'den talep edilmeli</t>
  </si>
  <si>
    <t xml:space="preserve">Ankara ve çevre iller</t>
  </si>
  <si>
    <t xml:space="preserve">4. Bölge</t>
  </si>
  <si>
    <t xml:space="preserve">Ankara</t>
  </si>
  <si>
    <t xml:space="preserve">4. Bölge toplam 13 KDİ — adres bilgisi KGM'den talep edilmeli</t>
  </si>
  <si>
    <t xml:space="preserve">Mersin ve çevre iller</t>
  </si>
  <si>
    <t xml:space="preserve">5. Bölge</t>
  </si>
  <si>
    <t xml:space="preserve">Mersin</t>
  </si>
  <si>
    <t xml:space="preserve">5. Bölge toplam 12 KDİ — adres bilgisi KGM'den talep edilmeli</t>
  </si>
  <si>
    <t xml:space="preserve">Kayseri ve çevre iller</t>
  </si>
  <si>
    <t xml:space="preserve">6. Bölge</t>
  </si>
  <si>
    <t xml:space="preserve">Kayseri</t>
  </si>
  <si>
    <t xml:space="preserve">6. Bölge toplam 3 KDİ — adres bilgisi KGM'den talep edilmeli</t>
  </si>
  <si>
    <t xml:space="preserve">Samsun ve çevre iller</t>
  </si>
  <si>
    <t xml:space="preserve">7. Bölge</t>
  </si>
  <si>
    <t xml:space="preserve">Samsun</t>
  </si>
  <si>
    <t xml:space="preserve">7. Bölge toplam 5 KDİ — adres bilgisi KGM'den talep edilmeli</t>
  </si>
  <si>
    <t xml:space="preserve">Elazığ ve çevre iller</t>
  </si>
  <si>
    <t xml:space="preserve">8. Bölge toplam 5 KDİ (2 adres doğrulandı)</t>
  </si>
  <si>
    <t xml:space="preserve">Diyarbakır ve çevre iller</t>
  </si>
  <si>
    <t xml:space="preserve">9. Bölge toplam 5 KDİ (2 adres doğrulandı)</t>
  </si>
  <si>
    <t xml:space="preserve">Trabzon ve çevre iller</t>
  </si>
  <si>
    <t xml:space="preserve">10. Bölge</t>
  </si>
  <si>
    <t xml:space="preserve">Trabzon</t>
  </si>
  <si>
    <t xml:space="preserve">10. Bölge toplam 6 KDİ — adres bilgisi KGM'den talep edilmeli</t>
  </si>
  <si>
    <t xml:space="preserve">Van ve çevre iller</t>
  </si>
  <si>
    <t xml:space="preserve">11. Bölge</t>
  </si>
  <si>
    <t xml:space="preserve">Van</t>
  </si>
  <si>
    <t xml:space="preserve">11. Bölge toplam 4 KDİ — adres bilgisi KGM'den talep edilmeli</t>
  </si>
  <si>
    <t xml:space="preserve">Erzurum ve çevre iller</t>
  </si>
  <si>
    <t xml:space="preserve">12. Bölge</t>
  </si>
  <si>
    <t xml:space="preserve">Erzurum</t>
  </si>
  <si>
    <t xml:space="preserve">12. Bölge toplam 3 KDİ — adres bilgisi KGM'den talep edilmeli</t>
  </si>
  <si>
    <t xml:space="preserve">Antalya ve çevre iller</t>
  </si>
  <si>
    <t xml:space="preserve">13. Bölge</t>
  </si>
  <si>
    <t xml:space="preserve">Antalya</t>
  </si>
  <si>
    <t xml:space="preserve">13. Bölge toplam 4 KDİ — adres bilgisi KGM'den talep edilmeli</t>
  </si>
  <si>
    <t xml:space="preserve">Bursa ve çevre iller</t>
  </si>
  <si>
    <t xml:space="preserve">14. Bölge</t>
  </si>
  <si>
    <t xml:space="preserve">Bursa</t>
  </si>
  <si>
    <t xml:space="preserve">14. Bölge toplam 4 KDİ — adres bilgisi KGM'den talep edilmeli</t>
  </si>
  <si>
    <t xml:space="preserve">Kastamonu ve çevre iller</t>
  </si>
  <si>
    <t xml:space="preserve">15. Bölge</t>
  </si>
  <si>
    <t xml:space="preserve">Kastamonu</t>
  </si>
  <si>
    <t xml:space="preserve">15. Bölge toplam 3 KDİ — adres bilgisi KGM'den talep edilmeli</t>
  </si>
  <si>
    <t xml:space="preserve">Sivas ve çevre iller</t>
  </si>
  <si>
    <t xml:space="preserve">16. Bölge</t>
  </si>
  <si>
    <t xml:space="preserve">Sivas</t>
  </si>
  <si>
    <t xml:space="preserve">16. Bölge toplam 10 KDİ — adres bilgisi KGM'den talep edilmeli</t>
  </si>
  <si>
    <t xml:space="preserve">AÇIKLAMA / LEJANT</t>
  </si>
  <si>
    <t xml:space="preserve">✅ Yeşil satırlar</t>
  </si>
  <si>
    <t xml:space="preserve">KGM resmi belgelerinden veya doğrudan kaynaklardan teyit edilmiş istasyonlar</t>
  </si>
  <si>
    <t xml:space="preserve">⚠️ Sarı satırlar</t>
  </si>
  <si>
    <t xml:space="preserve">KGM bölge verilerinden türetilmiş — tam adres için KGM'ye başvurulmalıdır</t>
  </si>
  <si>
    <t xml:space="preserve">Toplam KDİ</t>
  </si>
  <si>
    <t xml:space="preserve">104 adet KDİ, 42 ilde, 16 KGM Bölge Müdürlüğü altında faaliyet göstermektedir (KGM 2025 raporu)</t>
  </si>
  <si>
    <t xml:space="preserve">Kaynak</t>
  </si>
  <si>
    <t xml:space="preserve">kgm.gov.tr — 2025 Yılı Karayolları Denetim İstasyonları Raporu</t>
  </si>
  <si>
    <t xml:space="preserve">KGM BÖLGE MÜDÜRLÜKLERİNE GÖRE KDİ DAĞILIMI — 2025</t>
  </si>
  <si>
    <t xml:space="preserve">Bölge No</t>
  </si>
  <si>
    <t xml:space="preserve">KDİ Sayısı</t>
  </si>
  <si>
    <t xml:space="preserve">Peron Sayısı</t>
  </si>
  <si>
    <t xml:space="preserve">Memur</t>
  </si>
  <si>
    <t xml:space="preserve">Güvenlik</t>
  </si>
  <si>
    <t xml:space="preserve">Toplam Personel</t>
  </si>
  <si>
    <t xml:space="preserve">TOPLAM</t>
  </si>
  <si>
    <t xml:space="preserve">16 Bölge Müdürlüğü</t>
  </si>
  <si>
    <t xml:space="preserve">2025 YILI DENETİM İSTATİSTİKLERİ</t>
  </si>
  <si>
    <t xml:space="preserve">Bölge</t>
  </si>
  <si>
    <t xml:space="preserve">Denetlenen Araç</t>
  </si>
  <si>
    <t xml:space="preserve">Ceza Kesilen Araç</t>
  </si>
  <si>
    <t xml:space="preserve">Ceza Oranı (%)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</si>
</sst>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D9E1F2"/>
      </patternFill>
    </fill>
    <fill>
      <patternFill patternType="solid">
        <fgColor rgb="FFFFFFFF"/>
        <bgColor rgb="FFFFFFCC"/>
      </patternFill>
    </fill>
    <fill>
      <patternFill patternType="solid">
        <fgColor rgb="FFD9E1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 diagonalUp="false" diagonalDown="false">
      <left style="thin">
        <color rgb="FFB4B4B4"/>
      </left>
      <right/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28"/>
    <col collapsed="false" customWidth="true" hidden="false" outlineLevel="0" max="8" min="8" style="0" width="45"/>
    <col collapsed="false" customWidth="true" hidden="false" outlineLevel="0" max="9" min="9" style="0" width="2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36" hidden="false" customHeight="true" outlineLevel="0" collapsed="false">
      <c r="A4" s="4" t="n">
        <v>1</v>
      </c>
      <c r="B4" s="5" t="s">
        <v>11</v>
      </c>
      <c r="C4" s="4" t="s">
        <v>12</v>
      </c>
      <c r="D4" s="5" t="s">
        <v>13</v>
      </c>
      <c r="E4" s="4" t="s">
        <v>14</v>
      </c>
      <c r="F4" s="5" t="s">
        <v>13</v>
      </c>
      <c r="G4" s="5" t="s">
        <v>15</v>
      </c>
      <c r="H4" s="5" t="s">
        <v>16</v>
      </c>
      <c r="I4" s="4" t="s">
        <v>17</v>
      </c>
    </row>
    <row r="5" customFormat="false" ht="36" hidden="false" customHeight="true" outlineLevel="0" collapsed="false">
      <c r="A5" s="4" t="n">
        <v>2</v>
      </c>
      <c r="B5" s="5" t="s">
        <v>18</v>
      </c>
      <c r="C5" s="4" t="s">
        <v>12</v>
      </c>
      <c r="D5" s="5" t="s">
        <v>13</v>
      </c>
      <c r="E5" s="4" t="s">
        <v>14</v>
      </c>
      <c r="F5" s="5" t="s">
        <v>13</v>
      </c>
      <c r="G5" s="5" t="s">
        <v>15</v>
      </c>
      <c r="H5" s="5" t="s">
        <v>19</v>
      </c>
      <c r="I5" s="4" t="s">
        <v>17</v>
      </c>
    </row>
    <row r="6" customFormat="false" ht="36" hidden="false" customHeight="true" outlineLevel="0" collapsed="false">
      <c r="A6" s="4" t="n">
        <v>3</v>
      </c>
      <c r="B6" s="5" t="s">
        <v>20</v>
      </c>
      <c r="C6" s="4" t="s">
        <v>12</v>
      </c>
      <c r="D6" s="5" t="s">
        <v>13</v>
      </c>
      <c r="E6" s="4" t="s">
        <v>14</v>
      </c>
      <c r="F6" s="5" t="s">
        <v>13</v>
      </c>
      <c r="G6" s="5" t="s">
        <v>15</v>
      </c>
      <c r="H6" s="5" t="s">
        <v>21</v>
      </c>
      <c r="I6" s="4" t="s">
        <v>17</v>
      </c>
    </row>
    <row r="7" customFormat="false" ht="36" hidden="false" customHeight="true" outlineLevel="0" collapsed="false">
      <c r="A7" s="4" t="n">
        <v>4</v>
      </c>
      <c r="B7" s="5" t="s">
        <v>22</v>
      </c>
      <c r="C7" s="4" t="s">
        <v>12</v>
      </c>
      <c r="D7" s="5" t="s">
        <v>13</v>
      </c>
      <c r="E7" s="4" t="s">
        <v>14</v>
      </c>
      <c r="F7" s="5" t="s">
        <v>13</v>
      </c>
      <c r="G7" s="5" t="s">
        <v>15</v>
      </c>
      <c r="H7" s="5" t="s">
        <v>23</v>
      </c>
      <c r="I7" s="4" t="s">
        <v>17</v>
      </c>
    </row>
    <row r="8" customFormat="false" ht="36" hidden="false" customHeight="true" outlineLevel="0" collapsed="false">
      <c r="A8" s="4" t="n">
        <v>5</v>
      </c>
      <c r="B8" s="5" t="s">
        <v>24</v>
      </c>
      <c r="C8" s="4" t="s">
        <v>25</v>
      </c>
      <c r="D8" s="5" t="s">
        <v>13</v>
      </c>
      <c r="E8" s="4" t="s">
        <v>14</v>
      </c>
      <c r="F8" s="5" t="s">
        <v>13</v>
      </c>
      <c r="G8" s="5" t="s">
        <v>26</v>
      </c>
      <c r="H8" s="5" t="s">
        <v>27</v>
      </c>
      <c r="I8" s="4" t="s">
        <v>17</v>
      </c>
    </row>
    <row r="9" customFormat="false" ht="36" hidden="false" customHeight="true" outlineLevel="0" collapsed="false">
      <c r="A9" s="4" t="n">
        <v>6</v>
      </c>
      <c r="B9" s="5" t="s">
        <v>28</v>
      </c>
      <c r="C9" s="4" t="s">
        <v>25</v>
      </c>
      <c r="D9" s="5" t="s">
        <v>13</v>
      </c>
      <c r="E9" s="4" t="s">
        <v>14</v>
      </c>
      <c r="F9" s="5" t="s">
        <v>13</v>
      </c>
      <c r="G9" s="5" t="s">
        <v>29</v>
      </c>
      <c r="H9" s="5" t="s">
        <v>30</v>
      </c>
      <c r="I9" s="4" t="s">
        <v>17</v>
      </c>
    </row>
    <row r="10" customFormat="false" ht="36" hidden="false" customHeight="true" outlineLevel="0" collapsed="false">
      <c r="A10" s="4" t="n">
        <v>7</v>
      </c>
      <c r="B10" s="5" t="s">
        <v>31</v>
      </c>
      <c r="C10" s="4" t="s">
        <v>25</v>
      </c>
      <c r="D10" s="5" t="s">
        <v>13</v>
      </c>
      <c r="E10" s="4" t="s">
        <v>14</v>
      </c>
      <c r="F10" s="5" t="s">
        <v>13</v>
      </c>
      <c r="G10" s="5" t="s">
        <v>32</v>
      </c>
      <c r="H10" s="5" t="s">
        <v>33</v>
      </c>
      <c r="I10" s="4" t="s">
        <v>17</v>
      </c>
    </row>
    <row r="11" customFormat="false" ht="36" hidden="false" customHeight="true" outlineLevel="0" collapsed="false">
      <c r="A11" s="4" t="n">
        <v>8</v>
      </c>
      <c r="B11" s="5" t="s">
        <v>34</v>
      </c>
      <c r="C11" s="4" t="s">
        <v>12</v>
      </c>
      <c r="D11" s="5" t="s">
        <v>35</v>
      </c>
      <c r="E11" s="4" t="s">
        <v>14</v>
      </c>
      <c r="F11" s="5" t="s">
        <v>13</v>
      </c>
      <c r="G11" s="5" t="s">
        <v>15</v>
      </c>
      <c r="H11" s="5" t="s">
        <v>36</v>
      </c>
      <c r="I11" s="4" t="s">
        <v>17</v>
      </c>
    </row>
    <row r="12" customFormat="false" ht="36" hidden="false" customHeight="true" outlineLevel="0" collapsed="false">
      <c r="A12" s="4" t="n">
        <v>9</v>
      </c>
      <c r="B12" s="5" t="s">
        <v>37</v>
      </c>
      <c r="C12" s="4" t="s">
        <v>12</v>
      </c>
      <c r="D12" s="5" t="s">
        <v>35</v>
      </c>
      <c r="E12" s="4" t="s">
        <v>14</v>
      </c>
      <c r="F12" s="5" t="s">
        <v>13</v>
      </c>
      <c r="G12" s="5" t="s">
        <v>15</v>
      </c>
      <c r="H12" s="5" t="s">
        <v>38</v>
      </c>
      <c r="I12" s="4" t="s">
        <v>17</v>
      </c>
    </row>
    <row r="13" customFormat="false" ht="36" hidden="false" customHeight="true" outlineLevel="0" collapsed="false">
      <c r="A13" s="4" t="n">
        <v>10</v>
      </c>
      <c r="B13" s="5" t="s">
        <v>39</v>
      </c>
      <c r="C13" s="4" t="s">
        <v>25</v>
      </c>
      <c r="D13" s="5" t="s">
        <v>40</v>
      </c>
      <c r="E13" s="4" t="s">
        <v>41</v>
      </c>
      <c r="F13" s="5" t="s">
        <v>42</v>
      </c>
      <c r="G13" s="5" t="s">
        <v>43</v>
      </c>
      <c r="H13" s="5" t="s">
        <v>44</v>
      </c>
      <c r="I13" s="4" t="s">
        <v>45</v>
      </c>
    </row>
    <row r="14" customFormat="false" ht="36" hidden="false" customHeight="true" outlineLevel="0" collapsed="false">
      <c r="A14" s="4" t="n">
        <v>11</v>
      </c>
      <c r="B14" s="5" t="s">
        <v>46</v>
      </c>
      <c r="C14" s="4" t="s">
        <v>25</v>
      </c>
      <c r="D14" s="5" t="s">
        <v>40</v>
      </c>
      <c r="E14" s="4" t="s">
        <v>41</v>
      </c>
      <c r="F14" s="5" t="s">
        <v>42</v>
      </c>
      <c r="G14" s="5" t="s">
        <v>43</v>
      </c>
      <c r="H14" s="5" t="s">
        <v>47</v>
      </c>
      <c r="I14" s="4" t="s">
        <v>45</v>
      </c>
    </row>
    <row r="15" customFormat="false" ht="36" hidden="false" customHeight="true" outlineLevel="0" collapsed="false">
      <c r="A15" s="4" t="n">
        <v>12</v>
      </c>
      <c r="B15" s="5" t="s">
        <v>48</v>
      </c>
      <c r="C15" s="4" t="s">
        <v>25</v>
      </c>
      <c r="D15" s="5" t="s">
        <v>49</v>
      </c>
      <c r="E15" s="4" t="s">
        <v>50</v>
      </c>
      <c r="F15" s="5" t="s">
        <v>49</v>
      </c>
      <c r="G15" s="5" t="s">
        <v>51</v>
      </c>
      <c r="H15" s="5" t="s">
        <v>52</v>
      </c>
      <c r="I15" s="4" t="s">
        <v>45</v>
      </c>
    </row>
    <row r="16" customFormat="false" ht="36" hidden="false" customHeight="true" outlineLevel="0" collapsed="false">
      <c r="A16" s="4" t="n">
        <v>13</v>
      </c>
      <c r="B16" s="5" t="s">
        <v>53</v>
      </c>
      <c r="C16" s="4" t="s">
        <v>25</v>
      </c>
      <c r="D16" s="5" t="s">
        <v>49</v>
      </c>
      <c r="E16" s="4" t="s">
        <v>50</v>
      </c>
      <c r="F16" s="5" t="s">
        <v>49</v>
      </c>
      <c r="G16" s="5" t="s">
        <v>54</v>
      </c>
      <c r="H16" s="5" t="s">
        <v>55</v>
      </c>
      <c r="I16" s="4" t="s">
        <v>45</v>
      </c>
    </row>
    <row r="17" customFormat="false" ht="36" hidden="false" customHeight="true" outlineLevel="0" collapsed="false">
      <c r="A17" s="6" t="n">
        <v>14</v>
      </c>
      <c r="B17" s="7" t="s">
        <v>56</v>
      </c>
      <c r="C17" s="6" t="s">
        <v>56</v>
      </c>
      <c r="D17" s="7" t="s">
        <v>13</v>
      </c>
      <c r="E17" s="6" t="s">
        <v>14</v>
      </c>
      <c r="F17" s="7" t="s">
        <v>13</v>
      </c>
      <c r="G17" s="7" t="s">
        <v>56</v>
      </c>
      <c r="H17" s="7" t="s">
        <v>57</v>
      </c>
      <c r="I17" s="6" t="s">
        <v>58</v>
      </c>
    </row>
    <row r="18" customFormat="false" ht="36" hidden="false" customHeight="true" outlineLevel="0" collapsed="false">
      <c r="A18" s="8" t="n">
        <v>15</v>
      </c>
      <c r="B18" s="9" t="s">
        <v>56</v>
      </c>
      <c r="C18" s="8" t="s">
        <v>56</v>
      </c>
      <c r="D18" s="9" t="s">
        <v>59</v>
      </c>
      <c r="E18" s="8" t="s">
        <v>14</v>
      </c>
      <c r="F18" s="9" t="s">
        <v>13</v>
      </c>
      <c r="G18" s="9" t="s">
        <v>56</v>
      </c>
      <c r="H18" s="9" t="s">
        <v>60</v>
      </c>
      <c r="I18" s="8" t="s">
        <v>58</v>
      </c>
    </row>
    <row r="19" customFormat="false" ht="36" hidden="false" customHeight="true" outlineLevel="0" collapsed="false">
      <c r="A19" s="6" t="n">
        <v>16</v>
      </c>
      <c r="B19" s="7" t="s">
        <v>56</v>
      </c>
      <c r="C19" s="6" t="s">
        <v>56</v>
      </c>
      <c r="D19" s="7" t="s">
        <v>61</v>
      </c>
      <c r="E19" s="6" t="s">
        <v>62</v>
      </c>
      <c r="F19" s="7" t="s">
        <v>63</v>
      </c>
      <c r="G19" s="7" t="s">
        <v>56</v>
      </c>
      <c r="H19" s="7" t="s">
        <v>64</v>
      </c>
      <c r="I19" s="6" t="s">
        <v>58</v>
      </c>
    </row>
    <row r="20" customFormat="false" ht="36" hidden="false" customHeight="true" outlineLevel="0" collapsed="false">
      <c r="A20" s="8" t="n">
        <v>17</v>
      </c>
      <c r="B20" s="9" t="s">
        <v>56</v>
      </c>
      <c r="C20" s="8" t="s">
        <v>56</v>
      </c>
      <c r="D20" s="9" t="s">
        <v>65</v>
      </c>
      <c r="E20" s="8" t="s">
        <v>66</v>
      </c>
      <c r="F20" s="9" t="s">
        <v>67</v>
      </c>
      <c r="G20" s="9" t="s">
        <v>56</v>
      </c>
      <c r="H20" s="9" t="s">
        <v>68</v>
      </c>
      <c r="I20" s="8" t="s">
        <v>58</v>
      </c>
    </row>
    <row r="21" customFormat="false" ht="36" hidden="false" customHeight="true" outlineLevel="0" collapsed="false">
      <c r="A21" s="6" t="n">
        <v>18</v>
      </c>
      <c r="B21" s="7" t="s">
        <v>56</v>
      </c>
      <c r="C21" s="6" t="s">
        <v>56</v>
      </c>
      <c r="D21" s="7" t="s">
        <v>69</v>
      </c>
      <c r="E21" s="6" t="s">
        <v>70</v>
      </c>
      <c r="F21" s="7" t="s">
        <v>71</v>
      </c>
      <c r="G21" s="7" t="s">
        <v>56</v>
      </c>
      <c r="H21" s="7" t="s">
        <v>72</v>
      </c>
      <c r="I21" s="6" t="s">
        <v>58</v>
      </c>
    </row>
    <row r="22" customFormat="false" ht="36" hidden="false" customHeight="true" outlineLevel="0" collapsed="false">
      <c r="A22" s="8" t="n">
        <v>19</v>
      </c>
      <c r="B22" s="9" t="s">
        <v>56</v>
      </c>
      <c r="C22" s="8" t="s">
        <v>56</v>
      </c>
      <c r="D22" s="9" t="s">
        <v>73</v>
      </c>
      <c r="E22" s="8" t="s">
        <v>74</v>
      </c>
      <c r="F22" s="9" t="s">
        <v>75</v>
      </c>
      <c r="G22" s="9" t="s">
        <v>56</v>
      </c>
      <c r="H22" s="9" t="s">
        <v>76</v>
      </c>
      <c r="I22" s="8" t="s">
        <v>58</v>
      </c>
    </row>
    <row r="23" customFormat="false" ht="36" hidden="false" customHeight="true" outlineLevel="0" collapsed="false">
      <c r="A23" s="6" t="n">
        <v>20</v>
      </c>
      <c r="B23" s="7" t="s">
        <v>56</v>
      </c>
      <c r="C23" s="6" t="s">
        <v>56</v>
      </c>
      <c r="D23" s="7" t="s">
        <v>77</v>
      </c>
      <c r="E23" s="6" t="s">
        <v>78</v>
      </c>
      <c r="F23" s="7" t="s">
        <v>79</v>
      </c>
      <c r="G23" s="7" t="s">
        <v>56</v>
      </c>
      <c r="H23" s="7" t="s">
        <v>80</v>
      </c>
      <c r="I23" s="6" t="s">
        <v>58</v>
      </c>
    </row>
    <row r="24" customFormat="false" ht="36" hidden="false" customHeight="true" outlineLevel="0" collapsed="false">
      <c r="A24" s="8" t="n">
        <v>21</v>
      </c>
      <c r="B24" s="9" t="s">
        <v>56</v>
      </c>
      <c r="C24" s="8" t="s">
        <v>56</v>
      </c>
      <c r="D24" s="9" t="s">
        <v>81</v>
      </c>
      <c r="E24" s="8" t="s">
        <v>82</v>
      </c>
      <c r="F24" s="9" t="s">
        <v>83</v>
      </c>
      <c r="G24" s="9" t="s">
        <v>56</v>
      </c>
      <c r="H24" s="9" t="s">
        <v>84</v>
      </c>
      <c r="I24" s="8" t="s">
        <v>58</v>
      </c>
    </row>
    <row r="25" customFormat="false" ht="36" hidden="false" customHeight="true" outlineLevel="0" collapsed="false">
      <c r="A25" s="6" t="n">
        <v>22</v>
      </c>
      <c r="B25" s="7" t="s">
        <v>56</v>
      </c>
      <c r="C25" s="6" t="s">
        <v>56</v>
      </c>
      <c r="D25" s="7" t="s">
        <v>85</v>
      </c>
      <c r="E25" s="6" t="s">
        <v>41</v>
      </c>
      <c r="F25" s="7" t="s">
        <v>42</v>
      </c>
      <c r="G25" s="7" t="s">
        <v>56</v>
      </c>
      <c r="H25" s="7" t="s">
        <v>86</v>
      </c>
      <c r="I25" s="6" t="s">
        <v>58</v>
      </c>
    </row>
    <row r="26" customFormat="false" ht="36" hidden="false" customHeight="true" outlineLevel="0" collapsed="false">
      <c r="A26" s="8" t="n">
        <v>23</v>
      </c>
      <c r="B26" s="9" t="s">
        <v>56</v>
      </c>
      <c r="C26" s="8" t="s">
        <v>56</v>
      </c>
      <c r="D26" s="9" t="s">
        <v>87</v>
      </c>
      <c r="E26" s="8" t="s">
        <v>50</v>
      </c>
      <c r="F26" s="9" t="s">
        <v>49</v>
      </c>
      <c r="G26" s="9" t="s">
        <v>56</v>
      </c>
      <c r="H26" s="9" t="s">
        <v>88</v>
      </c>
      <c r="I26" s="8" t="s">
        <v>58</v>
      </c>
    </row>
    <row r="27" customFormat="false" ht="36" hidden="false" customHeight="true" outlineLevel="0" collapsed="false">
      <c r="A27" s="6" t="n">
        <v>24</v>
      </c>
      <c r="B27" s="7" t="s">
        <v>56</v>
      </c>
      <c r="C27" s="6" t="s">
        <v>56</v>
      </c>
      <c r="D27" s="7" t="s">
        <v>89</v>
      </c>
      <c r="E27" s="6" t="s">
        <v>90</v>
      </c>
      <c r="F27" s="7" t="s">
        <v>91</v>
      </c>
      <c r="G27" s="7" t="s">
        <v>56</v>
      </c>
      <c r="H27" s="7" t="s">
        <v>92</v>
      </c>
      <c r="I27" s="6" t="s">
        <v>58</v>
      </c>
    </row>
    <row r="28" customFormat="false" ht="36" hidden="false" customHeight="true" outlineLevel="0" collapsed="false">
      <c r="A28" s="8" t="n">
        <v>25</v>
      </c>
      <c r="B28" s="9" t="s">
        <v>56</v>
      </c>
      <c r="C28" s="8" t="s">
        <v>56</v>
      </c>
      <c r="D28" s="9" t="s">
        <v>93</v>
      </c>
      <c r="E28" s="8" t="s">
        <v>94</v>
      </c>
      <c r="F28" s="9" t="s">
        <v>95</v>
      </c>
      <c r="G28" s="9" t="s">
        <v>56</v>
      </c>
      <c r="H28" s="9" t="s">
        <v>96</v>
      </c>
      <c r="I28" s="8" t="s">
        <v>58</v>
      </c>
    </row>
    <row r="29" customFormat="false" ht="36" hidden="false" customHeight="true" outlineLevel="0" collapsed="false">
      <c r="A29" s="6" t="n">
        <v>26</v>
      </c>
      <c r="B29" s="7" t="s">
        <v>56</v>
      </c>
      <c r="C29" s="6" t="s">
        <v>56</v>
      </c>
      <c r="D29" s="7" t="s">
        <v>97</v>
      </c>
      <c r="E29" s="6" t="s">
        <v>98</v>
      </c>
      <c r="F29" s="7" t="s">
        <v>99</v>
      </c>
      <c r="G29" s="7" t="s">
        <v>56</v>
      </c>
      <c r="H29" s="7" t="s">
        <v>100</v>
      </c>
      <c r="I29" s="6" t="s">
        <v>58</v>
      </c>
    </row>
    <row r="30" customFormat="false" ht="36" hidden="false" customHeight="true" outlineLevel="0" collapsed="false">
      <c r="A30" s="8" t="n">
        <v>27</v>
      </c>
      <c r="B30" s="9" t="s">
        <v>56</v>
      </c>
      <c r="C30" s="8" t="s">
        <v>56</v>
      </c>
      <c r="D30" s="9" t="s">
        <v>101</v>
      </c>
      <c r="E30" s="8" t="s">
        <v>102</v>
      </c>
      <c r="F30" s="9" t="s">
        <v>103</v>
      </c>
      <c r="G30" s="9" t="s">
        <v>56</v>
      </c>
      <c r="H30" s="9" t="s">
        <v>104</v>
      </c>
      <c r="I30" s="8" t="s">
        <v>58</v>
      </c>
    </row>
    <row r="31" customFormat="false" ht="36" hidden="false" customHeight="true" outlineLevel="0" collapsed="false">
      <c r="A31" s="6" t="n">
        <v>28</v>
      </c>
      <c r="B31" s="7" t="s">
        <v>56</v>
      </c>
      <c r="C31" s="6" t="s">
        <v>56</v>
      </c>
      <c r="D31" s="7" t="s">
        <v>105</v>
      </c>
      <c r="E31" s="6" t="s">
        <v>106</v>
      </c>
      <c r="F31" s="7" t="s">
        <v>107</v>
      </c>
      <c r="G31" s="7" t="s">
        <v>56</v>
      </c>
      <c r="H31" s="7" t="s">
        <v>108</v>
      </c>
      <c r="I31" s="6" t="s">
        <v>58</v>
      </c>
    </row>
    <row r="32" customFormat="false" ht="36" hidden="false" customHeight="true" outlineLevel="0" collapsed="false">
      <c r="A32" s="8" t="n">
        <v>29</v>
      </c>
      <c r="B32" s="9" t="s">
        <v>56</v>
      </c>
      <c r="C32" s="8" t="s">
        <v>56</v>
      </c>
      <c r="D32" s="9" t="s">
        <v>109</v>
      </c>
      <c r="E32" s="8" t="s">
        <v>110</v>
      </c>
      <c r="F32" s="9" t="s">
        <v>111</v>
      </c>
      <c r="G32" s="9" t="s">
        <v>56</v>
      </c>
      <c r="H32" s="9" t="s">
        <v>112</v>
      </c>
      <c r="I32" s="8" t="s">
        <v>58</v>
      </c>
    </row>
    <row r="33" customFormat="false" ht="36" hidden="false" customHeight="true" outlineLevel="0" collapsed="false">
      <c r="A33" s="6" t="n">
        <v>30</v>
      </c>
      <c r="B33" s="7" t="s">
        <v>56</v>
      </c>
      <c r="C33" s="6" t="s">
        <v>56</v>
      </c>
      <c r="D33" s="7" t="s">
        <v>113</v>
      </c>
      <c r="E33" s="6" t="s">
        <v>114</v>
      </c>
      <c r="F33" s="7" t="s">
        <v>115</v>
      </c>
      <c r="G33" s="7" t="s">
        <v>56</v>
      </c>
      <c r="H33" s="7" t="s">
        <v>116</v>
      </c>
      <c r="I33" s="6" t="s">
        <v>58</v>
      </c>
    </row>
    <row r="35" customFormat="false" ht="15" hidden="false" customHeight="false" outlineLevel="0" collapsed="false">
      <c r="A35" s="10" t="s">
        <v>117</v>
      </c>
      <c r="B35" s="10"/>
      <c r="C35" s="10"/>
      <c r="D35" s="10"/>
      <c r="E35" s="10"/>
      <c r="F35" s="10"/>
      <c r="G35" s="10"/>
      <c r="H35" s="10"/>
      <c r="I35" s="10"/>
    </row>
    <row r="36" customFormat="false" ht="19.5" hidden="false" customHeight="true" outlineLevel="0" collapsed="false">
      <c r="A36" s="11" t="s">
        <v>118</v>
      </c>
      <c r="B36" s="11"/>
      <c r="C36" s="12" t="s">
        <v>119</v>
      </c>
      <c r="D36" s="12"/>
      <c r="E36" s="12"/>
      <c r="F36" s="12"/>
      <c r="G36" s="12"/>
      <c r="H36" s="12"/>
      <c r="I36" s="12"/>
    </row>
    <row r="37" customFormat="false" ht="19.5" hidden="false" customHeight="true" outlineLevel="0" collapsed="false">
      <c r="A37" s="11" t="s">
        <v>120</v>
      </c>
      <c r="B37" s="11"/>
      <c r="C37" s="12" t="s">
        <v>121</v>
      </c>
      <c r="D37" s="12"/>
      <c r="E37" s="12"/>
      <c r="F37" s="12"/>
      <c r="G37" s="12"/>
      <c r="H37" s="12"/>
      <c r="I37" s="12"/>
    </row>
    <row r="38" customFormat="false" ht="19.5" hidden="false" customHeight="true" outlineLevel="0" collapsed="false">
      <c r="A38" s="11" t="s">
        <v>122</v>
      </c>
      <c r="B38" s="11"/>
      <c r="C38" s="12" t="s">
        <v>123</v>
      </c>
      <c r="D38" s="12"/>
      <c r="E38" s="12"/>
      <c r="F38" s="12"/>
      <c r="G38" s="12"/>
      <c r="H38" s="12"/>
      <c r="I38" s="12"/>
    </row>
    <row r="39" customFormat="false" ht="19.5" hidden="false" customHeight="true" outlineLevel="0" collapsed="false">
      <c r="A39" s="11" t="s">
        <v>124</v>
      </c>
      <c r="B39" s="11"/>
      <c r="C39" s="12" t="s">
        <v>125</v>
      </c>
      <c r="D39" s="12"/>
      <c r="E39" s="12"/>
      <c r="F39" s="12"/>
      <c r="G39" s="12"/>
      <c r="H39" s="12"/>
      <c r="I39" s="12"/>
    </row>
  </sheetData>
  <mergeCells count="11">
    <mergeCell ref="A1:I1"/>
    <mergeCell ref="A2:I2"/>
    <mergeCell ref="A35:I35"/>
    <mergeCell ref="A36:B36"/>
    <mergeCell ref="C36:I36"/>
    <mergeCell ref="A37:B37"/>
    <mergeCell ref="C37:I37"/>
    <mergeCell ref="A38:B38"/>
    <mergeCell ref="C38:I38"/>
    <mergeCell ref="A39:B39"/>
    <mergeCell ref="C39:I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4"/>
    <col collapsed="false" customWidth="true" hidden="false" outlineLevel="0" max="5" min="5" style="0" width="18"/>
    <col collapsed="false" customWidth="true" hidden="false" outlineLevel="0" max="6" min="6" style="0" width="4"/>
    <col collapsed="false" customWidth="true" hidden="false" outlineLevel="0" max="7" min="7" style="0" width="14"/>
  </cols>
  <sheetData>
    <row r="1" customFormat="false" ht="27.75" hidden="false" customHeight="true" outlineLevel="0" collapsed="false">
      <c r="A1" s="13" t="s">
        <v>126</v>
      </c>
      <c r="B1" s="13"/>
      <c r="C1" s="13"/>
      <c r="D1" s="13"/>
      <c r="E1" s="13"/>
      <c r="F1" s="13"/>
      <c r="G1" s="13"/>
    </row>
    <row r="2" customFormat="false" ht="30" hidden="false" customHeight="true" outlineLevel="0" collapsed="false">
      <c r="A2" s="3" t="s">
        <v>127</v>
      </c>
      <c r="B2" s="3" t="s">
        <v>7</v>
      </c>
      <c r="C2" s="3" t="s">
        <v>128</v>
      </c>
      <c r="D2" s="3" t="s">
        <v>129</v>
      </c>
      <c r="E2" s="3" t="s">
        <v>130</v>
      </c>
      <c r="F2" s="3" t="s">
        <v>131</v>
      </c>
      <c r="G2" s="3" t="s">
        <v>132</v>
      </c>
    </row>
    <row r="3" customFormat="false" ht="19.5" hidden="false" customHeight="true" outlineLevel="0" collapsed="false">
      <c r="A3" s="14" t="s">
        <v>14</v>
      </c>
      <c r="B3" s="15" t="s">
        <v>13</v>
      </c>
      <c r="C3" s="14" t="n">
        <v>15</v>
      </c>
      <c r="D3" s="14" t="n">
        <v>28</v>
      </c>
      <c r="E3" s="14" t="n">
        <v>204</v>
      </c>
      <c r="F3" s="14" t="n">
        <v>96</v>
      </c>
      <c r="G3" s="14" t="n">
        <v>354</v>
      </c>
    </row>
    <row r="4" customFormat="false" ht="19.5" hidden="false" customHeight="true" outlineLevel="0" collapsed="false">
      <c r="A4" s="16" t="s">
        <v>62</v>
      </c>
      <c r="B4" s="17" t="s">
        <v>63</v>
      </c>
      <c r="C4" s="16" t="n">
        <v>6</v>
      </c>
      <c r="D4" s="16" t="n">
        <v>12</v>
      </c>
      <c r="E4" s="16" t="n">
        <v>110</v>
      </c>
      <c r="F4" s="16" t="n">
        <v>55</v>
      </c>
      <c r="G4" s="16" t="n">
        <v>181</v>
      </c>
    </row>
    <row r="5" customFormat="false" ht="19.5" hidden="false" customHeight="true" outlineLevel="0" collapsed="false">
      <c r="A5" s="14" t="s">
        <v>66</v>
      </c>
      <c r="B5" s="15" t="s">
        <v>67</v>
      </c>
      <c r="C5" s="14" t="n">
        <v>6</v>
      </c>
      <c r="D5" s="14" t="n">
        <v>11</v>
      </c>
      <c r="E5" s="14" t="n">
        <v>95</v>
      </c>
      <c r="F5" s="14" t="n">
        <v>48</v>
      </c>
      <c r="G5" s="14" t="n">
        <v>152</v>
      </c>
    </row>
    <row r="6" customFormat="false" ht="19.5" hidden="false" customHeight="true" outlineLevel="0" collapsed="false">
      <c r="A6" s="16" t="s">
        <v>70</v>
      </c>
      <c r="B6" s="17" t="s">
        <v>71</v>
      </c>
      <c r="C6" s="16" t="n">
        <v>13</v>
      </c>
      <c r="D6" s="16" t="n">
        <v>26</v>
      </c>
      <c r="E6" s="16" t="n">
        <v>170</v>
      </c>
      <c r="F6" s="16" t="n">
        <v>98</v>
      </c>
      <c r="G6" s="16" t="n">
        <v>290</v>
      </c>
    </row>
    <row r="7" customFormat="false" ht="19.5" hidden="false" customHeight="true" outlineLevel="0" collapsed="false">
      <c r="A7" s="14" t="s">
        <v>74</v>
      </c>
      <c r="B7" s="15" t="s">
        <v>75</v>
      </c>
      <c r="C7" s="14" t="n">
        <v>12</v>
      </c>
      <c r="D7" s="14" t="n">
        <v>20</v>
      </c>
      <c r="E7" s="14" t="n">
        <v>194</v>
      </c>
      <c r="F7" s="14" t="n">
        <v>99</v>
      </c>
      <c r="G7" s="14" t="n">
        <v>305</v>
      </c>
    </row>
    <row r="8" customFormat="false" ht="19.5" hidden="false" customHeight="true" outlineLevel="0" collapsed="false">
      <c r="A8" s="16" t="s">
        <v>78</v>
      </c>
      <c r="B8" s="17" t="s">
        <v>79</v>
      </c>
      <c r="C8" s="16" t="n">
        <v>3</v>
      </c>
      <c r="D8" s="16" t="n">
        <v>5</v>
      </c>
      <c r="E8" s="16" t="n">
        <v>43</v>
      </c>
      <c r="F8" s="16" t="n">
        <v>25</v>
      </c>
      <c r="G8" s="16" t="n">
        <v>75</v>
      </c>
    </row>
    <row r="9" customFormat="false" ht="19.5" hidden="false" customHeight="true" outlineLevel="0" collapsed="false">
      <c r="A9" s="14" t="s">
        <v>82</v>
      </c>
      <c r="B9" s="15" t="s">
        <v>83</v>
      </c>
      <c r="C9" s="14" t="n">
        <v>5</v>
      </c>
      <c r="D9" s="14" t="n">
        <v>10</v>
      </c>
      <c r="E9" s="14" t="n">
        <v>118</v>
      </c>
      <c r="F9" s="14" t="n">
        <v>45</v>
      </c>
      <c r="G9" s="14" t="n">
        <v>170</v>
      </c>
    </row>
    <row r="10" customFormat="false" ht="19.5" hidden="false" customHeight="true" outlineLevel="0" collapsed="false">
      <c r="A10" s="16" t="s">
        <v>41</v>
      </c>
      <c r="B10" s="17" t="s">
        <v>42</v>
      </c>
      <c r="C10" s="16" t="n">
        <v>5</v>
      </c>
      <c r="D10" s="16" t="n">
        <v>7</v>
      </c>
      <c r="E10" s="16" t="n">
        <v>73</v>
      </c>
      <c r="F10" s="16" t="n">
        <v>38</v>
      </c>
      <c r="G10" s="16" t="n">
        <v>119</v>
      </c>
    </row>
    <row r="11" customFormat="false" ht="19.5" hidden="false" customHeight="true" outlineLevel="0" collapsed="false">
      <c r="A11" s="14" t="s">
        <v>50</v>
      </c>
      <c r="B11" s="15" t="s">
        <v>49</v>
      </c>
      <c r="C11" s="14" t="n">
        <v>5</v>
      </c>
      <c r="D11" s="14" t="n">
        <v>8</v>
      </c>
      <c r="E11" s="14" t="n">
        <v>80</v>
      </c>
      <c r="F11" s="14" t="n">
        <v>42</v>
      </c>
      <c r="G11" s="14" t="n">
        <v>136</v>
      </c>
    </row>
    <row r="12" customFormat="false" ht="19.5" hidden="false" customHeight="true" outlineLevel="0" collapsed="false">
      <c r="A12" s="16" t="s">
        <v>90</v>
      </c>
      <c r="B12" s="17" t="s">
        <v>91</v>
      </c>
      <c r="C12" s="16" t="n">
        <v>6</v>
      </c>
      <c r="D12" s="16" t="n">
        <v>9</v>
      </c>
      <c r="E12" s="16" t="n">
        <v>89</v>
      </c>
      <c r="F12" s="16" t="n">
        <v>50</v>
      </c>
      <c r="G12" s="16" t="n">
        <v>149</v>
      </c>
    </row>
    <row r="13" customFormat="false" ht="19.5" hidden="false" customHeight="true" outlineLevel="0" collapsed="false">
      <c r="A13" s="14" t="s">
        <v>94</v>
      </c>
      <c r="B13" s="15" t="s">
        <v>95</v>
      </c>
      <c r="C13" s="14" t="n">
        <v>4</v>
      </c>
      <c r="D13" s="14" t="n">
        <v>8</v>
      </c>
      <c r="E13" s="14" t="n">
        <v>74</v>
      </c>
      <c r="F13" s="14" t="n">
        <v>30</v>
      </c>
      <c r="G13" s="14" t="n">
        <v>117</v>
      </c>
    </row>
    <row r="14" customFormat="false" ht="19.5" hidden="false" customHeight="true" outlineLevel="0" collapsed="false">
      <c r="A14" s="16" t="s">
        <v>98</v>
      </c>
      <c r="B14" s="17" t="s">
        <v>99</v>
      </c>
      <c r="C14" s="16" t="n">
        <v>3</v>
      </c>
      <c r="D14" s="16" t="n">
        <v>6</v>
      </c>
      <c r="E14" s="16" t="n">
        <v>54</v>
      </c>
      <c r="F14" s="16" t="n">
        <v>26</v>
      </c>
      <c r="G14" s="16" t="n">
        <v>85</v>
      </c>
    </row>
    <row r="15" customFormat="false" ht="19.5" hidden="false" customHeight="true" outlineLevel="0" collapsed="false">
      <c r="A15" s="14" t="s">
        <v>102</v>
      </c>
      <c r="B15" s="15" t="s">
        <v>103</v>
      </c>
      <c r="C15" s="14" t="n">
        <v>4</v>
      </c>
      <c r="D15" s="14" t="n">
        <v>8</v>
      </c>
      <c r="E15" s="14" t="n">
        <v>84</v>
      </c>
      <c r="F15" s="14" t="n">
        <v>29</v>
      </c>
      <c r="G15" s="14" t="n">
        <v>121</v>
      </c>
    </row>
    <row r="16" customFormat="false" ht="19.5" hidden="false" customHeight="true" outlineLevel="0" collapsed="false">
      <c r="A16" s="16" t="s">
        <v>106</v>
      </c>
      <c r="B16" s="17" t="s">
        <v>107</v>
      </c>
      <c r="C16" s="16" t="n">
        <v>4</v>
      </c>
      <c r="D16" s="16" t="n">
        <v>7</v>
      </c>
      <c r="E16" s="16" t="n">
        <v>69</v>
      </c>
      <c r="F16" s="16" t="n">
        <v>34</v>
      </c>
      <c r="G16" s="16" t="n">
        <v>115</v>
      </c>
    </row>
    <row r="17" customFormat="false" ht="19.5" hidden="false" customHeight="true" outlineLevel="0" collapsed="false">
      <c r="A17" s="14" t="s">
        <v>110</v>
      </c>
      <c r="B17" s="15" t="s">
        <v>111</v>
      </c>
      <c r="C17" s="14" t="n">
        <v>3</v>
      </c>
      <c r="D17" s="14" t="n">
        <v>5</v>
      </c>
      <c r="E17" s="14" t="n">
        <v>52</v>
      </c>
      <c r="F17" s="14" t="n">
        <v>24</v>
      </c>
      <c r="G17" s="14" t="n">
        <v>82</v>
      </c>
    </row>
    <row r="18" customFormat="false" ht="19.5" hidden="false" customHeight="true" outlineLevel="0" collapsed="false">
      <c r="A18" s="16" t="s">
        <v>114</v>
      </c>
      <c r="B18" s="17" t="s">
        <v>115</v>
      </c>
      <c r="C18" s="16" t="n">
        <v>10</v>
      </c>
      <c r="D18" s="16" t="n">
        <v>14</v>
      </c>
      <c r="E18" s="16" t="n">
        <v>146</v>
      </c>
      <c r="F18" s="16" t="n">
        <v>79</v>
      </c>
      <c r="G18" s="16" t="n">
        <v>226</v>
      </c>
    </row>
    <row r="19" customFormat="false" ht="21.75" hidden="false" customHeight="true" outlineLevel="0" collapsed="false">
      <c r="A19" s="18" t="s">
        <v>133</v>
      </c>
      <c r="B19" s="19" t="s">
        <v>134</v>
      </c>
      <c r="C19" s="18" t="n">
        <f aca="false">SUM(C3:C18)</f>
        <v>104</v>
      </c>
      <c r="D19" s="18" t="n">
        <f aca="false">SUM(D3:D18)</f>
        <v>184</v>
      </c>
      <c r="E19" s="18" t="n">
        <f aca="false">SUM(E3:E18)</f>
        <v>1655</v>
      </c>
      <c r="F19" s="18" t="n">
        <f aca="false">SUM(F3:F18)</f>
        <v>818</v>
      </c>
      <c r="G19" s="18" t="n">
        <f aca="false">SUM(G3:G18)</f>
        <v>2677</v>
      </c>
    </row>
    <row r="21" customFormat="false" ht="21.75" hidden="false" customHeight="true" outlineLevel="0" collapsed="false">
      <c r="A21" s="20" t="s">
        <v>135</v>
      </c>
      <c r="B21" s="20"/>
      <c r="C21" s="20"/>
      <c r="D21" s="20"/>
      <c r="E21" s="20"/>
      <c r="F21" s="20"/>
      <c r="G21" s="20"/>
    </row>
    <row r="22" customFormat="false" ht="27.75" hidden="false" customHeight="true" outlineLevel="0" collapsed="false">
      <c r="A22" s="3" t="s">
        <v>136</v>
      </c>
      <c r="B22" s="3" t="s">
        <v>7</v>
      </c>
      <c r="C22" s="3" t="s">
        <v>137</v>
      </c>
      <c r="D22" s="3"/>
      <c r="E22" s="3" t="s">
        <v>138</v>
      </c>
      <c r="F22" s="3"/>
      <c r="G22" s="3" t="s">
        <v>139</v>
      </c>
    </row>
    <row r="23" customFormat="false" ht="18" hidden="false" customHeight="true" outlineLevel="0" collapsed="false">
      <c r="A23" s="14" t="s">
        <v>14</v>
      </c>
      <c r="B23" s="15" t="s">
        <v>13</v>
      </c>
      <c r="C23" s="21" t="n">
        <v>8169876</v>
      </c>
      <c r="D23" s="14"/>
      <c r="E23" s="21" t="n">
        <v>47397</v>
      </c>
      <c r="F23" s="14"/>
      <c r="G23" s="22" t="n">
        <f aca="false">E23/C23*100</f>
        <v>0.580143444037584</v>
      </c>
    </row>
    <row r="24" customFormat="false" ht="18" hidden="false" customHeight="true" outlineLevel="0" collapsed="false">
      <c r="A24" s="16" t="s">
        <v>62</v>
      </c>
      <c r="B24" s="17" t="s">
        <v>63</v>
      </c>
      <c r="C24" s="23" t="n">
        <v>3229198</v>
      </c>
      <c r="D24" s="16"/>
      <c r="E24" s="23" t="n">
        <v>8432</v>
      </c>
      <c r="F24" s="16"/>
      <c r="G24" s="24" t="n">
        <f aca="false">E24/C24*100</f>
        <v>0.261117466318262</v>
      </c>
    </row>
    <row r="25" customFormat="false" ht="18" hidden="false" customHeight="true" outlineLevel="0" collapsed="false">
      <c r="A25" s="14" t="s">
        <v>66</v>
      </c>
      <c r="B25" s="15" t="s">
        <v>67</v>
      </c>
      <c r="C25" s="21" t="n">
        <v>3084260</v>
      </c>
      <c r="D25" s="14"/>
      <c r="E25" s="21" t="n">
        <v>8344</v>
      </c>
      <c r="F25" s="14"/>
      <c r="G25" s="22" t="n">
        <f aca="false">E25/C25*100</f>
        <v>0.270534909508278</v>
      </c>
    </row>
    <row r="26" customFormat="false" ht="18" hidden="false" customHeight="true" outlineLevel="0" collapsed="false">
      <c r="A26" s="16" t="s">
        <v>70</v>
      </c>
      <c r="B26" s="17" t="s">
        <v>71</v>
      </c>
      <c r="C26" s="23" t="n">
        <v>7402562</v>
      </c>
      <c r="D26" s="16"/>
      <c r="E26" s="23" t="n">
        <v>24985</v>
      </c>
      <c r="F26" s="16"/>
      <c r="G26" s="24" t="n">
        <f aca="false">E26/C26*100</f>
        <v>0.337518280833041</v>
      </c>
    </row>
    <row r="27" customFormat="false" ht="18" hidden="false" customHeight="true" outlineLevel="0" collapsed="false">
      <c r="A27" s="14" t="s">
        <v>74</v>
      </c>
      <c r="B27" s="15" t="s">
        <v>75</v>
      </c>
      <c r="C27" s="21" t="n">
        <v>10531353</v>
      </c>
      <c r="D27" s="14"/>
      <c r="E27" s="21" t="n">
        <v>26906</v>
      </c>
      <c r="F27" s="14"/>
      <c r="G27" s="22" t="n">
        <f aca="false">E27/C27*100</f>
        <v>0.255484741609174</v>
      </c>
    </row>
    <row r="28" customFormat="false" ht="18" hidden="false" customHeight="true" outlineLevel="0" collapsed="false">
      <c r="A28" s="16" t="s">
        <v>78</v>
      </c>
      <c r="B28" s="17" t="s">
        <v>79</v>
      </c>
      <c r="C28" s="23" t="n">
        <v>891588</v>
      </c>
      <c r="D28" s="16"/>
      <c r="E28" s="23" t="n">
        <v>3587</v>
      </c>
      <c r="F28" s="16"/>
      <c r="G28" s="24" t="n">
        <f aca="false">E28/C28*100</f>
        <v>0.402315867867221</v>
      </c>
    </row>
    <row r="29" customFormat="false" ht="18" hidden="false" customHeight="true" outlineLevel="0" collapsed="false">
      <c r="A29" s="14" t="s">
        <v>82</v>
      </c>
      <c r="B29" s="15" t="s">
        <v>83</v>
      </c>
      <c r="C29" s="21" t="n">
        <v>3141626</v>
      </c>
      <c r="D29" s="14"/>
      <c r="E29" s="21" t="n">
        <v>4843</v>
      </c>
      <c r="F29" s="14"/>
      <c r="G29" s="22" t="n">
        <f aca="false">E29/C29*100</f>
        <v>0.154155841592857</v>
      </c>
    </row>
    <row r="30" customFormat="false" ht="18" hidden="false" customHeight="true" outlineLevel="0" collapsed="false">
      <c r="A30" s="16" t="s">
        <v>41</v>
      </c>
      <c r="B30" s="17" t="s">
        <v>42</v>
      </c>
      <c r="C30" s="23" t="n">
        <v>771677</v>
      </c>
      <c r="D30" s="16"/>
      <c r="E30" s="23" t="n">
        <v>3958</v>
      </c>
      <c r="F30" s="16"/>
      <c r="G30" s="24" t="n">
        <f aca="false">E30/C30*100</f>
        <v>0.51290889841216</v>
      </c>
    </row>
    <row r="31" customFormat="false" ht="18" hidden="false" customHeight="true" outlineLevel="0" collapsed="false">
      <c r="A31" s="14" t="s">
        <v>50</v>
      </c>
      <c r="B31" s="15" t="s">
        <v>49</v>
      </c>
      <c r="C31" s="21" t="n">
        <v>2555303</v>
      </c>
      <c r="D31" s="14"/>
      <c r="E31" s="21" t="n">
        <v>13238</v>
      </c>
      <c r="F31" s="14"/>
      <c r="G31" s="22" t="n">
        <f aca="false">E31/C31*100</f>
        <v>0.518059893484256</v>
      </c>
    </row>
    <row r="32" customFormat="false" ht="18" hidden="false" customHeight="true" outlineLevel="0" collapsed="false">
      <c r="A32" s="16" t="s">
        <v>90</v>
      </c>
      <c r="B32" s="17" t="s">
        <v>91</v>
      </c>
      <c r="C32" s="23" t="n">
        <v>1678139</v>
      </c>
      <c r="D32" s="16"/>
      <c r="E32" s="23" t="n">
        <v>2364</v>
      </c>
      <c r="F32" s="16"/>
      <c r="G32" s="24" t="n">
        <f aca="false">E32/C32*100</f>
        <v>0.140870333148804</v>
      </c>
    </row>
    <row r="33" customFormat="false" ht="18" hidden="false" customHeight="true" outlineLevel="0" collapsed="false">
      <c r="A33" s="14" t="s">
        <v>94</v>
      </c>
      <c r="B33" s="15" t="s">
        <v>95</v>
      </c>
      <c r="C33" s="21" t="n">
        <v>733281</v>
      </c>
      <c r="D33" s="14"/>
      <c r="E33" s="21" t="n">
        <v>3454</v>
      </c>
      <c r="F33" s="14"/>
      <c r="G33" s="22" t="n">
        <f aca="false">E33/C33*100</f>
        <v>0.471033614671593</v>
      </c>
    </row>
    <row r="34" customFormat="false" ht="18" hidden="false" customHeight="true" outlineLevel="0" collapsed="false">
      <c r="A34" s="16" t="s">
        <v>98</v>
      </c>
      <c r="B34" s="17" t="s">
        <v>99</v>
      </c>
      <c r="C34" s="23" t="n">
        <v>832029</v>
      </c>
      <c r="D34" s="16"/>
      <c r="E34" s="23" t="n">
        <v>1224</v>
      </c>
      <c r="F34" s="16"/>
      <c r="G34" s="24" t="n">
        <f aca="false">E34/C34*100</f>
        <v>0.147110256974216</v>
      </c>
    </row>
    <row r="35" customFormat="false" ht="18" hidden="false" customHeight="true" outlineLevel="0" collapsed="false">
      <c r="A35" s="14" t="s">
        <v>102</v>
      </c>
      <c r="B35" s="15" t="s">
        <v>103</v>
      </c>
      <c r="C35" s="21" t="n">
        <v>1886029</v>
      </c>
      <c r="D35" s="14"/>
      <c r="E35" s="21" t="n">
        <v>7553</v>
      </c>
      <c r="F35" s="14"/>
      <c r="G35" s="22" t="n">
        <f aca="false">E35/C35*100</f>
        <v>0.400471042597966</v>
      </c>
    </row>
    <row r="36" customFormat="false" ht="18" hidden="false" customHeight="true" outlineLevel="0" collapsed="false">
      <c r="A36" s="16" t="s">
        <v>106</v>
      </c>
      <c r="B36" s="17" t="s">
        <v>107</v>
      </c>
      <c r="C36" s="23" t="n">
        <v>2034953</v>
      </c>
      <c r="D36" s="16"/>
      <c r="E36" s="23" t="n">
        <v>5113</v>
      </c>
      <c r="F36" s="16"/>
      <c r="G36" s="24" t="n">
        <f aca="false">E36/C36*100</f>
        <v>0.251258874283583</v>
      </c>
    </row>
    <row r="37" customFormat="false" ht="18" hidden="false" customHeight="true" outlineLevel="0" collapsed="false">
      <c r="A37" s="14" t="s">
        <v>110</v>
      </c>
      <c r="B37" s="15" t="s">
        <v>111</v>
      </c>
      <c r="C37" s="21" t="n">
        <v>980976</v>
      </c>
      <c r="D37" s="14"/>
      <c r="E37" s="21" t="n">
        <v>4499</v>
      </c>
      <c r="F37" s="14"/>
      <c r="G37" s="22" t="n">
        <f aca="false">E37/C37*100</f>
        <v>0.458624879711634</v>
      </c>
    </row>
    <row r="38" customFormat="false" ht="18" hidden="false" customHeight="true" outlineLevel="0" collapsed="false">
      <c r="A38" s="16" t="s">
        <v>114</v>
      </c>
      <c r="B38" s="17" t="s">
        <v>115</v>
      </c>
      <c r="C38" s="23" t="n">
        <v>2810808</v>
      </c>
      <c r="D38" s="16"/>
      <c r="E38" s="23" t="n">
        <v>4779</v>
      </c>
      <c r="F38" s="16"/>
      <c r="G38" s="24" t="n">
        <f aca="false">E38/C38*100</f>
        <v>0.170022285406901</v>
      </c>
    </row>
  </sheetData>
  <mergeCells count="2">
    <mergeCell ref="A1:G1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2026-06-24T15:52:58Z</dcterms:created>
  <dc:creator>openpyxl</dc:creator>
  <dc:description/>
  <dc:language>en-US</dc:language>
  <cp:lastModifiedBy/>
  <dcterms:modified xsi:type="dcterms:W3CDTF">2026-06-24T15:52:58Z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